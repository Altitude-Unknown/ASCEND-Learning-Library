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Build" sheetId="2" r:id="rId6"/>
  </sheets>
  <definedNames/>
  <calcPr/>
</workbook>
</file>

<file path=xl/sharedStrings.xml><?xml version="1.0" encoding="utf-8"?>
<sst xmlns="http://schemas.openxmlformats.org/spreadsheetml/2006/main" count="220" uniqueCount="123">
  <si>
    <t>Part</t>
  </si>
  <si>
    <t>Digikey #</t>
  </si>
  <si>
    <t>Manufacture #</t>
  </si>
  <si>
    <t>Price</t>
  </si>
  <si>
    <t># or Parts</t>
  </si>
  <si>
    <t>Cost for Parts</t>
  </si>
  <si>
    <r>
      <rPr>
        <rFont val="Arial"/>
        <b/>
        <color theme="1"/>
      </rPr>
      <t xml:space="preserve">Directions: </t>
    </r>
    <r>
      <rPr>
        <rFont val="Arial"/>
        <b val="0"/>
        <color theme="1"/>
      </rPr>
      <t xml:space="preserve">Add part names to column 1 and digikey </t>
    </r>
  </si>
  <si>
    <t>0.1uF</t>
  </si>
  <si>
    <t>KGM21NR71E104KT</t>
  </si>
  <si>
    <t>Label</t>
  </si>
  <si>
    <t>DigiKey #</t>
  </si>
  <si>
    <t>Directional?</t>
  </si>
  <si>
    <t>C10, C12, C14, C9</t>
  </si>
  <si>
    <t xml:space="preserve">numbers to column 2 then hit the button below. </t>
  </si>
  <si>
    <t>1uF</t>
  </si>
  <si>
    <t>478-KGM21AR71C105KUTR-ND</t>
  </si>
  <si>
    <t>0805YC105KAT2A</t>
  </si>
  <si>
    <t>Finally fill out number of parts and you are done.</t>
  </si>
  <si>
    <t>No</t>
  </si>
  <si>
    <t>10uF</t>
  </si>
  <si>
    <t>587-1295-2-ND</t>
  </si>
  <si>
    <t>EMK212BJ106KG-T</t>
  </si>
  <si>
    <t>C1, C4, C5, C6</t>
  </si>
  <si>
    <t>22pF</t>
  </si>
  <si>
    <t>478-1280-1-ND</t>
  </si>
  <si>
    <t>KGM21BCG2A220JT</t>
  </si>
  <si>
    <t>C11, C7, C8</t>
  </si>
  <si>
    <t>2.2pF</t>
  </si>
  <si>
    <t>478-KGM21BCG1H2R2CTTR-ND</t>
  </si>
  <si>
    <t>KGM21BCG1H2R2CT</t>
  </si>
  <si>
    <t>1K</t>
  </si>
  <si>
    <t>C2, C3</t>
  </si>
  <si>
    <t>C13</t>
  </si>
  <si>
    <t>R1, R13, R15, R16, R17, R4, R5</t>
  </si>
  <si>
    <t>RC0805FR-071KP</t>
  </si>
  <si>
    <t>10K</t>
  </si>
  <si>
    <t>R2, R3, R6</t>
  </si>
  <si>
    <t>100K</t>
  </si>
  <si>
    <t>R14</t>
  </si>
  <si>
    <t>RNCP0805FTD10K0</t>
  </si>
  <si>
    <t>2.2K</t>
  </si>
  <si>
    <t>R10, R11, R12, R7, R8, R9</t>
  </si>
  <si>
    <t>Switch Tactile</t>
  </si>
  <si>
    <t>SW1, SW2</t>
  </si>
  <si>
    <t>CRCW0805100KJNEB</t>
  </si>
  <si>
    <t>3.3V Linear Regulator</t>
  </si>
  <si>
    <t>U3</t>
  </si>
  <si>
    <t>296-28778-2-ND - Tape &amp; Reel (TR)</t>
  </si>
  <si>
    <t>Yes</t>
  </si>
  <si>
    <t>Li-po Charger</t>
  </si>
  <si>
    <t>U2</t>
  </si>
  <si>
    <t>MCP73831T-2ACI/OTCT-ND</t>
  </si>
  <si>
    <t>LoRa Module</t>
  </si>
  <si>
    <t>U5</t>
  </si>
  <si>
    <t>CKN10504CT-ND</t>
  </si>
  <si>
    <t>Accelerometer and Gyroscope</t>
  </si>
  <si>
    <t>TL3301NF160QG-KR</t>
  </si>
  <si>
    <t>U7</t>
  </si>
  <si>
    <t>296-28778-2-ND</t>
  </si>
  <si>
    <t>TLV1117LV33DCYR</t>
  </si>
  <si>
    <t xml:space="preserve">Pressure Sensor </t>
  </si>
  <si>
    <t>U4</t>
  </si>
  <si>
    <t>MCP73831T-2ACI/OT</t>
  </si>
  <si>
    <t>Antenna Connector</t>
  </si>
  <si>
    <t>900 Mhz LoRa</t>
  </si>
  <si>
    <t>SX1276IMLTRT</t>
  </si>
  <si>
    <t>Mount to botton of PCB</t>
  </si>
  <si>
    <t>Micro SD Card Holder</t>
  </si>
  <si>
    <t>SD</t>
  </si>
  <si>
    <t>LSM6DSO32TR</t>
  </si>
  <si>
    <t>Micro USB-B</t>
  </si>
  <si>
    <t>No Label</t>
  </si>
  <si>
    <t>32.768KHZ Crystal</t>
  </si>
  <si>
    <t>MS560702BA03-50</t>
  </si>
  <si>
    <t>XTAL</t>
  </si>
  <si>
    <t>GPS Chip Antenna</t>
  </si>
  <si>
    <t>ANT2</t>
  </si>
  <si>
    <t>Schottky Diode 20V 1 Amp</t>
  </si>
  <si>
    <t>D2</t>
  </si>
  <si>
    <t>GTFP08432B1HR</t>
  </si>
  <si>
    <t>3x4 male header A0,A1,A2,A3 &amp; 3.3v/GND</t>
  </si>
  <si>
    <t>0.100" Header</t>
  </si>
  <si>
    <t>10103594-0001LF</t>
  </si>
  <si>
    <t>3x4 Male Header A4,A5,D8,D13 &amp; 3.3v/GND</t>
  </si>
  <si>
    <t>2pin Connector-Battery input</t>
  </si>
  <si>
    <t>JST 2-pin White</t>
  </si>
  <si>
    <t>ABS07-32.768KHZ-6-T</t>
  </si>
  <si>
    <t>6 pin male header (optional) Programming Header</t>
  </si>
  <si>
    <t>No don't solder header</t>
  </si>
  <si>
    <t>W3011</t>
  </si>
  <si>
    <t>Do not Install</t>
  </si>
  <si>
    <t>MBR120LSFT1G</t>
  </si>
  <si>
    <t>4 pin male header I2C</t>
  </si>
  <si>
    <t>4 pin male header Vbus/Gnd/D+/D- (USB Breakout)</t>
  </si>
  <si>
    <t>PH1-08-UA</t>
  </si>
  <si>
    <t>4 pin male header Tx/Gnd/Rx</t>
  </si>
  <si>
    <t>S2B-PH-K-S</t>
  </si>
  <si>
    <t>LED RED CLEAR CHIP SMD</t>
  </si>
  <si>
    <t>PWR</t>
  </si>
  <si>
    <t>LED GREEN CLEAR CHIP SMD</t>
  </si>
  <si>
    <t>BLINK</t>
  </si>
  <si>
    <t>LED ORANGE CLEAR CHIP SMD</t>
  </si>
  <si>
    <t>CHGR</t>
  </si>
  <si>
    <t>XZMDK54W-1</t>
  </si>
  <si>
    <t>Tx</t>
  </si>
  <si>
    <t>XZVG54W-1</t>
  </si>
  <si>
    <t>Rx</t>
  </si>
  <si>
    <t>XZMOK54W-1</t>
  </si>
  <si>
    <t>Microcontroller</t>
  </si>
  <si>
    <t>U1</t>
  </si>
  <si>
    <t>M9 STANDARD PRECISION GNSS MOD</t>
  </si>
  <si>
    <t>U6</t>
  </si>
  <si>
    <t>ATSAMD21G18A-AU</t>
  </si>
  <si>
    <t>672-NEO-M9N-00BCT-ND</t>
  </si>
  <si>
    <t>NEO-M9N-00B</t>
  </si>
  <si>
    <t>223-RFM95W-915S2</t>
  </si>
  <si>
    <t>Lithium Ion Polymer Battery - 3.7v 1200mAh</t>
  </si>
  <si>
    <t>External not on PCB</t>
  </si>
  <si>
    <t>Printed Circuit Board</t>
  </si>
  <si>
    <t xml:space="preserve">Mouser-RFM95W-915S2
</t>
  </si>
  <si>
    <t>N/A</t>
  </si>
  <si>
    <t>Adafruit 5035</t>
  </si>
  <si>
    <t>Total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</si>
</sst>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sz val="9.0"/>
      <color theme="1"/>
      <name val="Roboto"/>
    </font>
    <font>
      <u/>
      <sz val="11.0"/>
      <color theme="1"/>
      <name val="Calibri"/>
    </font>
    <font>
      <sz val="9.0"/>
      <color rgb="FF444444"/>
      <name val="Roboto"/>
    </font>
    <font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color rgb="FF333333"/>
      <name val="Arial"/>
    </font>
    <font>
      <sz val="9.0"/>
      <color rgb="FF222222"/>
      <name val="Roboto"/>
    </font>
    <font>
      <u/>
      <sz val="9.0"/>
      <color rgb="FF444444"/>
      <name val="Roboto"/>
    </font>
    <font>
      <u/>
      <sz val="11.0"/>
      <color rgb="FF444444"/>
      <name val="Calibri"/>
    </font>
    <font>
      <sz val="11.0"/>
      <color rgb="FF444444"/>
      <name val="Calibri"/>
    </font>
    <font>
      <color theme="1"/>
      <name val="Arial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vertical="bottom"/>
    </xf>
    <xf borderId="0" fillId="0" fontId="2" numFmtId="0" xfId="0" applyAlignment="1" applyFont="1">
      <alignment readingOrder="0" shrinkToFit="0" wrapText="0"/>
    </xf>
    <xf borderId="3" fillId="3" fontId="3" numFmtId="0" xfId="0" applyAlignment="1" applyBorder="1" applyFill="1" applyFont="1">
      <alignment readingOrder="0" vertical="bottom"/>
    </xf>
    <xf borderId="3" fillId="0" fontId="4" numFmtId="0" xfId="0" applyAlignment="1" applyBorder="1" applyFont="1">
      <alignment horizontal="left"/>
    </xf>
    <xf borderId="3" fillId="3" fontId="5" numFmtId="0" xfId="0" applyAlignment="1" applyBorder="1" applyFill="1" applyFont="1">
      <alignment readingOrder="0" vertical="bottom"/>
    </xf>
    <xf borderId="3" fillId="3" fontId="5" numFmtId="164" xfId="0" applyAlignment="1" applyBorder="1" applyFill="1" applyFont="1" applyNumberFormat="1">
      <alignment readingOrder="0" vertical="bottom"/>
    </xf>
    <xf borderId="3" fillId="3" fontId="5" numFmtId="164" xfId="0" applyAlignment="1" applyBorder="1" applyFill="1" applyFont="1" applyNumberFormat="1">
      <alignment vertical="bottom"/>
    </xf>
    <xf borderId="3" fillId="3" fontId="6" numFmtId="0" xfId="0" applyAlignment="1" applyBorder="1" applyFill="1" applyFont="1">
      <alignment horizontal="left" readingOrder="0" shrinkToFit="0" wrapText="0"/>
    </xf>
    <xf borderId="0" fillId="0" fontId="7" numFmtId="0" xfId="0" applyAlignment="1" applyFont="1">
      <alignment readingOrder="0"/>
    </xf>
    <xf borderId="3" fillId="0" fontId="8" numFmtId="0" xfId="0" applyAlignment="1" applyBorder="1" applyFont="1">
      <alignment horizontal="left" readingOrder="0"/>
    </xf>
    <xf borderId="3" fillId="3" fontId="9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readingOrder="0" vertical="bottom"/>
    </xf>
    <xf borderId="3" fillId="3" fontId="10" numFmtId="164" xfId="0" applyAlignment="1" applyBorder="1" applyFill="1" applyFont="1" applyNumberFormat="1">
      <alignment horizontal="right" readingOrder="0" shrinkToFit="0" wrapText="0"/>
    </xf>
    <xf borderId="3" fillId="0" fontId="8" numFmtId="164" xfId="0" applyAlignment="1" applyBorder="1" applyFont="1" applyNumberFormat="1">
      <alignment vertical="bottom"/>
    </xf>
    <xf borderId="3" fillId="0" fontId="7" numFmtId="0" xfId="0" applyAlignment="1" applyBorder="1" applyFont="1">
      <alignment readingOrder="0"/>
    </xf>
    <xf borderId="3" fillId="0" fontId="11" numFmtId="0" xfId="0" applyBorder="1" applyFont="1"/>
    <xf borderId="3" fillId="0" fontId="12" numFmtId="0" xfId="0" applyAlignment="1" applyBorder="1" applyFont="1">
      <alignment horizontal="left"/>
    </xf>
    <xf borderId="3" fillId="0" fontId="8" numFmtId="164" xfId="0" applyAlignment="1" applyBorder="1" applyFont="1" applyNumberFormat="1">
      <alignment readingOrder="0" vertical="bottom"/>
    </xf>
    <xf borderId="4" fillId="3" fontId="13" numFmtId="0" xfId="0" applyAlignment="1" applyBorder="1" applyFill="1" applyFont="1">
      <alignment horizontal="left" readingOrder="0" vertical="bottom"/>
    </xf>
    <xf borderId="3" fillId="0" fontId="7" numFmtId="0" xfId="0" applyAlignment="1" applyBorder="1" applyFont="1">
      <alignment horizontal="left" readingOrder="0"/>
    </xf>
    <xf borderId="4" fillId="3" fontId="8" numFmtId="0" xfId="0" applyAlignment="1" applyBorder="1" applyFill="1" applyFont="1">
      <alignment horizontal="left" readingOrder="0" vertical="bottom"/>
    </xf>
    <xf borderId="3" fillId="0" fontId="8" numFmtId="0" xfId="0" applyAlignment="1" applyBorder="1" applyFont="1">
      <alignment vertical="bottom"/>
    </xf>
    <xf borderId="4" fillId="3" fontId="3" numFmtId="0" xfId="0" applyAlignment="1" applyBorder="1" applyFill="1" applyFont="1">
      <alignment readingOrder="0" vertical="bottom"/>
    </xf>
    <xf borderId="3" fillId="3" fontId="3" numFmtId="0" xfId="0" applyAlignment="1" applyBorder="1" applyFill="1" applyFont="1">
      <alignment readingOrder="0" vertical="bottom"/>
    </xf>
    <xf borderId="3" fillId="0" fontId="14" numFmtId="0" xfId="0" applyAlignment="1" applyBorder="1" applyFont="1">
      <alignment readingOrder="0" vertical="bottom"/>
    </xf>
    <xf borderId="3" fillId="0" fontId="15" numFmtId="0" xfId="0" applyAlignment="1" applyBorder="1" applyFont="1">
      <alignment vertical="bottom"/>
    </xf>
    <xf borderId="3" fillId="0" fontId="14" numFmtId="0" xfId="0" applyAlignment="1" applyBorder="1" applyFont="1">
      <alignment vertical="bottom"/>
    </xf>
    <xf borderId="3" fillId="0" fontId="7" numFmtId="0" xfId="0" applyAlignment="1" applyBorder="1" applyFont="1">
      <alignment readingOrder="0"/>
    </xf>
    <xf borderId="3" fillId="0" fontId="8" numFmtId="0" xfId="0" applyAlignment="1" applyBorder="1" applyFont="1">
      <alignment horizontal="left"/>
    </xf>
    <xf borderId="3" fillId="0" fontId="7" numFmtId="0" xfId="0" applyBorder="1" applyFont="1"/>
    <xf borderId="1" fillId="3" fontId="5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Build-style">
      <tableStyleElement dxfId="1" type="firstRowStripe"/>
      <tableStyleElement dxfId="2" type="secondRowStripe"/>
    </tableStyle>
    <tableStyle count="2" pivot="0" name="Buil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1114425</xdr:colOff>
      <xdr:row>2</xdr:row>
      <xdr:rowOff>200025</xdr:rowOff>
    </xdr:from>
    <xdr:ext cx="1914525" cy="561975"/>
    <xdr:sp>
      <xdr:nvSpPr>
        <xdr:cNvPr id="3" name="Shape 3"/>
        <xdr:cNvSpPr/>
      </xdr:nvSpPr>
      <xdr:spPr>
        <a:xfrm>
          <a:off x="2341675" y="1431025"/>
          <a:ext cx="1891200" cy="540300"/>
        </a:xfrm>
        <a:prstGeom prst="rect">
          <a:avLst/>
        </a:prstGeom>
        <a:solidFill>
          <a:srgbClr val="4A86E8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Insert DigiKey Info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0:A28" displayName="Table_1" name="Table_1" id="1">
  <tableColumns count="1">
    <tableColumn name="Column1" id="1"/>
  </tableColumns>
  <tableStyleInfo name="Build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D29" displayName="Table_2" name="Table_2" id="2">
  <tableColumns count="3">
    <tableColumn name="Column1" id="1"/>
    <tableColumn name="Column2" id="2"/>
    <tableColumn name="Column3" id="3"/>
  </tableColumns>
  <tableStyleInfo name="Buil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40.13"/>
    <col customWidth="1" min="3" max="3" width="35.63"/>
    <col customWidth="1" min="6" max="6" width="14.63"/>
    <col customWidth="1" min="7" max="7" width="44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>
      <c r="A2" s="5" t="s">
        <v>7</v>
      </c>
      <c r="B2" s="6" t="str">
        <f>HYPERLINK("https://www.digikey.com/en/products/detail/kyocera-avx/KGM21NR71E104KT/1116281", "478-KGM21NR71E104KTTR-ND")</f>
        <v>478-KGM21NR71E104KTTR-ND</v>
      </c>
      <c r="C2" s="7" t="s">
        <v>8</v>
      </c>
      <c r="D2" s="8">
        <v>0.008</v>
      </c>
      <c r="E2" s="7">
        <v>4.0</v>
      </c>
      <c r="F2" s="9">
        <f t="shared" ref="F2:F38" si="1">D2*E2</f>
        <v>0.032</v>
      </c>
      <c r="G2" s="11" t="s">
        <v>13</v>
      </c>
    </row>
    <row r="3">
      <c r="A3" s="5" t="s">
        <v>14</v>
      </c>
      <c r="B3" s="12" t="s">
        <v>15</v>
      </c>
      <c r="C3" s="13" t="s">
        <v>16</v>
      </c>
      <c r="D3" s="8">
        <v>0.15</v>
      </c>
      <c r="E3" s="7">
        <v>4.0</v>
      </c>
      <c r="F3" s="9">
        <f t="shared" si="1"/>
        <v>0.6</v>
      </c>
      <c r="G3" s="11" t="s">
        <v>17</v>
      </c>
    </row>
    <row r="4">
      <c r="A4" s="5" t="s">
        <v>19</v>
      </c>
      <c r="B4" s="12" t="s">
        <v>20</v>
      </c>
      <c r="C4" s="7" t="s">
        <v>21</v>
      </c>
      <c r="D4" s="8">
        <v>0.08</v>
      </c>
      <c r="E4" s="7">
        <v>3.0</v>
      </c>
      <c r="F4" s="9">
        <f t="shared" si="1"/>
        <v>0.24</v>
      </c>
    </row>
    <row r="5">
      <c r="A5" s="5" t="s">
        <v>23</v>
      </c>
      <c r="B5" s="11" t="s">
        <v>24</v>
      </c>
      <c r="C5" s="7" t="s">
        <v>25</v>
      </c>
      <c r="D5" s="8">
        <v>0.12</v>
      </c>
      <c r="E5" s="7">
        <v>2.0</v>
      </c>
      <c r="F5" s="9">
        <f t="shared" si="1"/>
        <v>0.24</v>
      </c>
    </row>
    <row r="6">
      <c r="A6" s="5" t="s">
        <v>27</v>
      </c>
      <c r="B6" s="12" t="s">
        <v>28</v>
      </c>
      <c r="C6" s="7" t="s">
        <v>29</v>
      </c>
      <c r="D6" s="8">
        <v>0.14</v>
      </c>
      <c r="E6" s="7">
        <v>1.0</v>
      </c>
      <c r="F6" s="9">
        <f t="shared" si="1"/>
        <v>0.14</v>
      </c>
    </row>
    <row r="7">
      <c r="A7" s="5" t="s">
        <v>30</v>
      </c>
      <c r="B7" s="6" t="str">
        <f>HYPERLINK("https://www.digikey.com/en/products/detail/yageo/RC0805FR-071KP/4935336", "YAG1321CT-ND")</f>
        <v>YAG1321CT-ND</v>
      </c>
      <c r="C7" s="7" t="s">
        <v>34</v>
      </c>
      <c r="D7" s="8">
        <v>0.1</v>
      </c>
      <c r="E7" s="7">
        <v>7.0</v>
      </c>
      <c r="F7" s="9">
        <f t="shared" si="1"/>
        <v>0.7</v>
      </c>
    </row>
    <row r="8">
      <c r="A8" s="5" t="s">
        <v>35</v>
      </c>
      <c r="B8" s="6" t="str">
        <f>HYPERLINK("https://www.digikey.com/en/products/detail/stackpole-electronics-inc/RNCP0805FTD10K0/2240262", "RNCP0805FTD10K0CT-ND")</f>
        <v>RNCP0805FTD10K0CT-ND</v>
      </c>
      <c r="C8" s="7" t="s">
        <v>39</v>
      </c>
      <c r="D8" s="15">
        <v>0.0084</v>
      </c>
      <c r="E8" s="7">
        <v>3.0</v>
      </c>
      <c r="F8" s="9">
        <f t="shared" si="1"/>
        <v>0.0252</v>
      </c>
    </row>
    <row r="9">
      <c r="A9" s="5" t="s">
        <v>37</v>
      </c>
      <c r="B9" s="6" t="str">
        <f>HYPERLINK("https://www.digikey.com/en/products/detail/vishay-dale/CRCW0805100KJNEB/5073567", "541-CRCW0805100KJNEBCT-ND")</f>
        <v>541-CRCW0805100KJNEBCT-ND</v>
      </c>
      <c r="C9" s="7" t="s">
        <v>44</v>
      </c>
      <c r="D9" s="8">
        <v>0.1</v>
      </c>
      <c r="E9" s="7">
        <v>1.0</v>
      </c>
      <c r="F9" s="9">
        <f t="shared" si="1"/>
        <v>0.1</v>
      </c>
    </row>
    <row r="10">
      <c r="A10" s="5" t="s">
        <v>40</v>
      </c>
      <c r="B10" s="6" t="str">
        <f>HYPERLINK("https://www.digikey.com/en/products/detail/yageo/RC0805FR-071KP/4935336", "YAG1321CT-ND")</f>
        <v>YAG1321CT-ND</v>
      </c>
      <c r="C10" s="7" t="s">
        <v>34</v>
      </c>
      <c r="D10" s="8">
        <v>0.1</v>
      </c>
      <c r="E10" s="7">
        <v>6.0</v>
      </c>
      <c r="F10" s="9">
        <f t="shared" si="1"/>
        <v>0.6</v>
      </c>
    </row>
    <row r="11">
      <c r="A11" s="16" t="s">
        <v>42</v>
      </c>
      <c r="B11" s="12" t="s">
        <v>54</v>
      </c>
      <c r="C11" s="17" t="s">
        <v>56</v>
      </c>
      <c r="D11" s="8">
        <v>0.25</v>
      </c>
      <c r="E11" s="7">
        <v>2.0</v>
      </c>
      <c r="F11" s="9">
        <f t="shared" si="1"/>
        <v>0.5</v>
      </c>
    </row>
    <row r="12">
      <c r="A12" s="16" t="s">
        <v>45</v>
      </c>
      <c r="B12" s="12" t="s">
        <v>58</v>
      </c>
      <c r="C12" s="17" t="s">
        <v>59</v>
      </c>
      <c r="D12" s="8">
        <v>0.25</v>
      </c>
      <c r="E12" s="7">
        <v>1.0</v>
      </c>
      <c r="F12" s="9">
        <f t="shared" si="1"/>
        <v>0.25</v>
      </c>
    </row>
    <row r="13">
      <c r="A13" s="16" t="s">
        <v>49</v>
      </c>
      <c r="B13" s="12" t="s">
        <v>51</v>
      </c>
      <c r="C13" s="17" t="s">
        <v>62</v>
      </c>
      <c r="D13" s="8">
        <v>0.76</v>
      </c>
      <c r="E13" s="7">
        <v>1.0</v>
      </c>
      <c r="F13" s="9">
        <f t="shared" si="1"/>
        <v>0.76</v>
      </c>
    </row>
    <row r="14">
      <c r="A14" s="16" t="s">
        <v>52</v>
      </c>
      <c r="B14" s="6" t="str">
        <f>HYPERLINK("https://www.digikey.com/en/products/detail/semtech-corporation/SX1276IMLTRT/4259565", "SX1276IMLTRTCT-ND")</f>
        <v>SX1276IMLTRTCT-ND</v>
      </c>
      <c r="C14" s="17" t="s">
        <v>65</v>
      </c>
      <c r="D14" s="8">
        <v>9.38</v>
      </c>
      <c r="E14" s="7">
        <v>1.0</v>
      </c>
      <c r="F14" s="9">
        <f t="shared" si="1"/>
        <v>9.38</v>
      </c>
    </row>
    <row r="15">
      <c r="A15" s="16" t="s">
        <v>55</v>
      </c>
      <c r="B15" s="6" t="str">
        <f>HYPERLINK("https://www.digikey.com/en/products/detail/stmicroelectronics/LSM6DSO32TR/11694177", "497-LSM6DSO32CT-ND")</f>
        <v>497-LSM6DSO32CT-ND</v>
      </c>
      <c r="C15" s="17" t="s">
        <v>69</v>
      </c>
      <c r="D15" s="8">
        <v>2.1667</v>
      </c>
      <c r="E15" s="7">
        <v>1.0</v>
      </c>
      <c r="F15" s="9">
        <f t="shared" si="1"/>
        <v>2.1667</v>
      </c>
    </row>
    <row r="16">
      <c r="A16" s="16" t="s">
        <v>60</v>
      </c>
      <c r="B16" s="18" t="str">
        <f>HYPERLINK("https://www.digikey.com/en/products/detail/te-connectivity-measurement-specialties/MS560702BA03-50/4700931", "223-1198-1-ND")</f>
        <v>223-1198-1-ND</v>
      </c>
      <c r="C16" s="17" t="s">
        <v>73</v>
      </c>
      <c r="D16" s="8">
        <v>9.48</v>
      </c>
      <c r="E16" s="7">
        <v>1.0</v>
      </c>
      <c r="F16" s="9">
        <f t="shared" si="1"/>
        <v>9.48</v>
      </c>
    </row>
    <row r="17">
      <c r="A17" s="16" t="s">
        <v>63</v>
      </c>
      <c r="B17" s="6" t="str">
        <f>HYPERLINK("https://www.digikey.com/en/products/detail/amphenol-rf/132134/1011907", "ACX1230-ND")</f>
        <v>ACX1230-ND</v>
      </c>
      <c r="C17" s="22">
        <v>132134.0</v>
      </c>
      <c r="D17" s="8">
        <v>6.42</v>
      </c>
      <c r="E17" s="7">
        <v>1.0</v>
      </c>
      <c r="F17" s="9">
        <f t="shared" si="1"/>
        <v>6.42</v>
      </c>
    </row>
    <row r="18">
      <c r="A18" s="16" t="s">
        <v>67</v>
      </c>
      <c r="B18" s="6" t="str">
        <f>HYPERLINK("https://www.digikey.com/en/products/detail/amphenol-cs-commercial-products/GTFP08432B1HR/13683218", "664-GTFP08432B1HRCT-ND")</f>
        <v>664-GTFP08432B1HRCT-ND</v>
      </c>
      <c r="C18" s="17" t="s">
        <v>79</v>
      </c>
      <c r="D18" s="8">
        <v>1.83</v>
      </c>
      <c r="E18" s="7">
        <v>1.0</v>
      </c>
      <c r="F18" s="9">
        <f t="shared" si="1"/>
        <v>1.83</v>
      </c>
    </row>
    <row r="19">
      <c r="A19" s="16" t="s">
        <v>70</v>
      </c>
      <c r="B19" s="19" t="str">
        <f>HYPERLINK("https://www.digikey.com/en/products/detail/amphenol-cs-fci/10103594-0001LF/2350351", "609-4050-2-ND")</f>
        <v>609-4050-2-ND</v>
      </c>
      <c r="C19" s="17" t="s">
        <v>82</v>
      </c>
      <c r="D19" s="8">
        <v>0.75</v>
      </c>
      <c r="E19" s="7">
        <v>1.0</v>
      </c>
      <c r="F19" s="9">
        <f t="shared" si="1"/>
        <v>0.75</v>
      </c>
    </row>
    <row r="20">
      <c r="A20" s="20" t="s">
        <v>72</v>
      </c>
      <c r="B20" s="19" t="str">
        <f>HYPERLINK("https://www.digikey.com/en/products/detail/abracon-llc/ABS07-32-768KHZ-6-T/3508065", "535-11898-2-ND")</f>
        <v>535-11898-2-ND</v>
      </c>
      <c r="C20" s="17" t="s">
        <v>86</v>
      </c>
      <c r="D20" s="8">
        <v>0.73</v>
      </c>
      <c r="E20" s="7">
        <v>1.0</v>
      </c>
      <c r="F20" s="9">
        <f t="shared" si="1"/>
        <v>0.73</v>
      </c>
    </row>
    <row r="21">
      <c r="A21" s="16" t="s">
        <v>75</v>
      </c>
      <c r="B21" s="6" t="str">
        <f>HYPERLINK("https://www.digikey.com/en/products/detail/pulse-electronics/W3011/3025804", "553-2582-1-ND")</f>
        <v>553-2582-1-ND</v>
      </c>
      <c r="C21" s="17" t="s">
        <v>89</v>
      </c>
      <c r="D21" s="8">
        <v>1.88</v>
      </c>
      <c r="E21" s="7">
        <v>1.0</v>
      </c>
      <c r="F21" s="9">
        <f t="shared" si="1"/>
        <v>1.88</v>
      </c>
    </row>
    <row r="22">
      <c r="A22" s="16" t="s">
        <v>77</v>
      </c>
      <c r="B22" s="6" t="str">
        <f>HYPERLINK("https://www.digikey.com/en/products/detail/onsemi/MBR120LSFT1G/1748986", "MBR120LSFT1GOSCT-ND")</f>
        <v>MBR120LSFT1GOSCT-ND</v>
      </c>
      <c r="C22" s="17" t="s">
        <v>91</v>
      </c>
      <c r="D22" s="8">
        <v>0.41</v>
      </c>
      <c r="E22" s="7">
        <v>1.0</v>
      </c>
      <c r="F22" s="9">
        <f t="shared" si="1"/>
        <v>0.41</v>
      </c>
    </row>
    <row r="23">
      <c r="A23" s="16" t="s">
        <v>80</v>
      </c>
      <c r="B23" s="6" t="str">
        <f t="shared" ref="B23:B24" si="2">HYPERLINK("https://www.digikey.com/en/products/detail/adam-tech/PH1-08-UA/9830442", "2057-PH1-08-UA-ND")</f>
        <v>2057-PH1-08-UA-ND</v>
      </c>
      <c r="C23" s="17" t="s">
        <v>94</v>
      </c>
      <c r="D23" s="8">
        <v>0.11</v>
      </c>
      <c r="E23" s="7">
        <v>1.0</v>
      </c>
      <c r="F23" s="9">
        <f t="shared" si="1"/>
        <v>0.11</v>
      </c>
    </row>
    <row r="24">
      <c r="A24" s="16" t="s">
        <v>83</v>
      </c>
      <c r="B24" s="6" t="str">
        <f t="shared" si="2"/>
        <v>2057-PH1-08-UA-ND</v>
      </c>
      <c r="C24" s="17" t="s">
        <v>94</v>
      </c>
      <c r="D24" s="8">
        <v>0.11</v>
      </c>
      <c r="E24" s="7">
        <v>1.0</v>
      </c>
      <c r="F24" s="9">
        <f t="shared" si="1"/>
        <v>0.11</v>
      </c>
    </row>
    <row r="25">
      <c r="A25" s="16" t="s">
        <v>84</v>
      </c>
      <c r="B25" s="6" t="str">
        <f>HYPERLINK("https://www.digikey.com/en/products/detail/jst-sales-america-inc/S2B-PH-K-S/926626", "455-1719-ND")</f>
        <v>455-1719-ND</v>
      </c>
      <c r="C25" s="17" t="s">
        <v>96</v>
      </c>
      <c r="D25" s="8">
        <v>0.1</v>
      </c>
      <c r="E25" s="7">
        <v>1.0</v>
      </c>
      <c r="F25" s="9">
        <f t="shared" si="1"/>
        <v>0.1</v>
      </c>
    </row>
    <row r="26">
      <c r="A26" s="16" t="s">
        <v>87</v>
      </c>
      <c r="B26" s="6" t="str">
        <f t="shared" ref="B26:B29" si="3">HYPERLINK("https://www.digikey.com/en/products/detail/adam-tech/PH1-08-UA/9830442", "2057-PH1-08-UA-ND")</f>
        <v>2057-PH1-08-UA-ND</v>
      </c>
      <c r="C26" s="17" t="s">
        <v>94</v>
      </c>
      <c r="D26" s="8">
        <v>0.11</v>
      </c>
      <c r="E26" s="7">
        <v>1.0</v>
      </c>
      <c r="F26" s="9">
        <f t="shared" si="1"/>
        <v>0.11</v>
      </c>
    </row>
    <row r="27">
      <c r="A27" s="24" t="s">
        <v>92</v>
      </c>
      <c r="B27" s="6" t="str">
        <f t="shared" si="3"/>
        <v>2057-PH1-08-UA-ND</v>
      </c>
      <c r="C27" s="17" t="s">
        <v>94</v>
      </c>
      <c r="D27" s="27">
        <v>0.11</v>
      </c>
      <c r="E27" s="17">
        <v>2.0</v>
      </c>
      <c r="F27" s="9">
        <f t="shared" si="1"/>
        <v>0.22</v>
      </c>
    </row>
    <row r="28">
      <c r="A28" s="24" t="s">
        <v>93</v>
      </c>
      <c r="B28" s="6" t="str">
        <f t="shared" si="3"/>
        <v>2057-PH1-08-UA-ND</v>
      </c>
      <c r="C28" s="17" t="s">
        <v>94</v>
      </c>
      <c r="D28" s="27">
        <v>0.11</v>
      </c>
      <c r="E28" s="17">
        <v>1.0</v>
      </c>
      <c r="F28" s="9">
        <f t="shared" si="1"/>
        <v>0.11</v>
      </c>
    </row>
    <row r="29">
      <c r="A29" s="24" t="s">
        <v>95</v>
      </c>
      <c r="B29" s="28" t="str">
        <f t="shared" si="3"/>
        <v>2057-PH1-08-UA-ND</v>
      </c>
      <c r="C29" s="29" t="s">
        <v>94</v>
      </c>
      <c r="D29" s="27">
        <v>0.11</v>
      </c>
      <c r="E29" s="17">
        <v>1.0</v>
      </c>
      <c r="F29" s="9">
        <f t="shared" si="1"/>
        <v>0.11</v>
      </c>
    </row>
    <row r="30">
      <c r="A30" s="24" t="s">
        <v>97</v>
      </c>
      <c r="B30" s="28" t="str">
        <f>HYPERLINK("https://www.digikey.com/en/products/detail/sunled/XZMDK54W-1/4745953", "1497-1170-1-ND")</f>
        <v>1497-1170-1-ND</v>
      </c>
      <c r="C30" s="17" t="s">
        <v>103</v>
      </c>
      <c r="D30" s="30">
        <v>0.19</v>
      </c>
      <c r="E30" s="17">
        <v>1.0</v>
      </c>
      <c r="F30" s="9">
        <f t="shared" si="1"/>
        <v>0.19</v>
      </c>
    </row>
    <row r="31">
      <c r="A31" s="24" t="s">
        <v>99</v>
      </c>
      <c r="B31" s="28" t="str">
        <f>HYPERLINK("https://www.digikey.com/en/products/detail/sunled/XZVG54W-1/4745972", "1497-1216-1-ND")</f>
        <v>1497-1216-1-ND</v>
      </c>
      <c r="C31" s="17" t="s">
        <v>105</v>
      </c>
      <c r="D31" s="30">
        <v>0.23</v>
      </c>
      <c r="E31" s="17">
        <v>1.0</v>
      </c>
      <c r="F31" s="9">
        <f t="shared" si="1"/>
        <v>0.23</v>
      </c>
    </row>
    <row r="32">
      <c r="A32" s="24" t="s">
        <v>101</v>
      </c>
      <c r="B32" s="28" t="str">
        <f>HYPERLINK("https://www.digikey.com/en/products/detail/sunled/XZMOK54W-1/4745796", "1497-1188-1-ND")</f>
        <v>1497-1188-1-ND</v>
      </c>
      <c r="C32" s="17" t="s">
        <v>107</v>
      </c>
      <c r="D32" s="30">
        <v>0.22</v>
      </c>
      <c r="E32" s="17">
        <v>1.0</v>
      </c>
      <c r="F32" s="9">
        <f t="shared" si="1"/>
        <v>0.22</v>
      </c>
    </row>
    <row r="33">
      <c r="A33" s="24" t="s">
        <v>99</v>
      </c>
      <c r="B33" s="28" t="str">
        <f>HYPERLINK("https://www.digikey.com/en/products/detail/sunled/XZVG54W-1/4745972", "1497-1216-1-ND")</f>
        <v>1497-1216-1-ND</v>
      </c>
      <c r="C33" s="17" t="s">
        <v>105</v>
      </c>
      <c r="D33" s="30">
        <v>0.23</v>
      </c>
      <c r="E33" s="17">
        <v>1.0</v>
      </c>
      <c r="F33" s="9">
        <f t="shared" si="1"/>
        <v>0.23</v>
      </c>
    </row>
    <row r="34">
      <c r="A34" s="24" t="s">
        <v>97</v>
      </c>
      <c r="B34" s="28" t="str">
        <f>HYPERLINK("https://www.digikey.com/en/products/detail/sunled/XZMDK54W-1/4745953", "1497-1170-1-ND")</f>
        <v>1497-1170-1-ND</v>
      </c>
      <c r="C34" s="17" t="s">
        <v>103</v>
      </c>
      <c r="D34" s="30">
        <v>0.19</v>
      </c>
      <c r="E34" s="17">
        <v>1.0</v>
      </c>
      <c r="F34" s="9">
        <f t="shared" si="1"/>
        <v>0.19</v>
      </c>
    </row>
    <row r="35">
      <c r="A35" s="24" t="s">
        <v>108</v>
      </c>
      <c r="B35" s="6" t="str">
        <f>HYPERLINK("https://www.digikey.com/en/products/detail/microchip-technology/ATSAMD21G18A-AU/5056473", "ATSAMD21G18A-AU-ND")</f>
        <v>ATSAMD21G18A-AU-ND</v>
      </c>
      <c r="C35" s="17" t="s">
        <v>112</v>
      </c>
      <c r="D35" s="30">
        <v>4.16</v>
      </c>
      <c r="E35" s="17">
        <v>1.0</v>
      </c>
      <c r="F35" s="9">
        <f t="shared" si="1"/>
        <v>4.16</v>
      </c>
    </row>
    <row r="36">
      <c r="A36" s="24" t="s">
        <v>110</v>
      </c>
      <c r="B36" s="31" t="s">
        <v>113</v>
      </c>
      <c r="C36" s="17" t="s">
        <v>114</v>
      </c>
      <c r="D36" s="17">
        <v>13.44</v>
      </c>
      <c r="E36" s="17">
        <v>1.0</v>
      </c>
      <c r="F36" s="9">
        <f t="shared" si="1"/>
        <v>13.44</v>
      </c>
    </row>
    <row r="37" ht="16.5" customHeight="1">
      <c r="A37" s="17" t="s">
        <v>52</v>
      </c>
      <c r="B37" s="17" t="s">
        <v>115</v>
      </c>
      <c r="C37" s="17" t="s">
        <v>119</v>
      </c>
      <c r="D37" s="17">
        <v>22.27</v>
      </c>
      <c r="E37" s="17">
        <v>1.0</v>
      </c>
      <c r="F37" s="9">
        <f t="shared" si="1"/>
        <v>22.27</v>
      </c>
    </row>
    <row r="38">
      <c r="A38" s="16" t="s">
        <v>116</v>
      </c>
      <c r="B38" s="12">
        <v>5035.0</v>
      </c>
      <c r="C38" s="17" t="s">
        <v>121</v>
      </c>
      <c r="D38" s="17">
        <v>29.95</v>
      </c>
      <c r="E38" s="17">
        <v>1.0</v>
      </c>
      <c r="F38" s="9">
        <f t="shared" si="1"/>
        <v>29.95</v>
      </c>
    </row>
    <row r="39">
      <c r="A39" s="24" t="s">
        <v>118</v>
      </c>
      <c r="B39" s="17" t="s">
        <v>120</v>
      </c>
      <c r="C39" s="17" t="s">
        <v>120</v>
      </c>
      <c r="D39" s="17">
        <v>23.63</v>
      </c>
      <c r="E39" s="17">
        <v>1.0</v>
      </c>
      <c r="F39" s="8">
        <f t="array" ref="F39">MMULT(D39,E39)</f>
        <v>23.63</v>
      </c>
    </row>
    <row r="44">
      <c r="E44" s="1" t="s">
        <v>122</v>
      </c>
      <c r="F44" s="33">
        <f>SUM(F2:F39)</f>
        <v>132.6139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20.5"/>
    <col customWidth="1" min="3" max="3" width="35.5"/>
    <col customWidth="1" min="4" max="4" width="17.13"/>
  </cols>
  <sheetData>
    <row r="1">
      <c r="A1" s="1" t="s">
        <v>0</v>
      </c>
      <c r="B1" s="2" t="s">
        <v>9</v>
      </c>
      <c r="C1" s="3" t="s">
        <v>10</v>
      </c>
      <c r="D1" s="2" t="s">
        <v>11</v>
      </c>
    </row>
    <row r="2">
      <c r="A2" s="5" t="s">
        <v>7</v>
      </c>
      <c r="B2" s="10" t="s">
        <v>12</v>
      </c>
      <c r="C2" s="6" t="str">
        <f>HYPERLINK("https://www.digikey.com/en/products/detail/kyocera-avx/KGM21NR71E104KT/1116281", "478-KGM21NR71E104KTTR-ND")</f>
        <v>478-KGM21NR71E104KTTR-ND</v>
      </c>
      <c r="D2" s="14" t="s">
        <v>18</v>
      </c>
    </row>
    <row r="3">
      <c r="A3" s="5" t="s">
        <v>14</v>
      </c>
      <c r="B3" s="14" t="s">
        <v>22</v>
      </c>
      <c r="C3" s="12" t="s">
        <v>15</v>
      </c>
      <c r="D3" s="14" t="s">
        <v>18</v>
      </c>
    </row>
    <row r="4">
      <c r="A4" s="5" t="s">
        <v>19</v>
      </c>
      <c r="B4" s="14" t="s">
        <v>26</v>
      </c>
      <c r="C4" s="12" t="s">
        <v>20</v>
      </c>
      <c r="D4" s="14" t="s">
        <v>18</v>
      </c>
    </row>
    <row r="5">
      <c r="A5" s="5" t="s">
        <v>23</v>
      </c>
      <c r="B5" s="14" t="s">
        <v>31</v>
      </c>
      <c r="C5" s="11" t="s">
        <v>24</v>
      </c>
      <c r="D5" s="14" t="s">
        <v>18</v>
      </c>
    </row>
    <row r="6">
      <c r="A6" s="5" t="s">
        <v>27</v>
      </c>
      <c r="B6" s="14" t="s">
        <v>32</v>
      </c>
      <c r="C6" s="12" t="s">
        <v>28</v>
      </c>
      <c r="D6" s="14" t="s">
        <v>18</v>
      </c>
    </row>
    <row r="7">
      <c r="A7" s="5" t="s">
        <v>30</v>
      </c>
      <c r="B7" s="14" t="s">
        <v>33</v>
      </c>
      <c r="C7" s="6" t="str">
        <f>HYPERLINK("https://www.digikey.com/en/products/detail/yageo/RC0805FR-071KP/4935336", "YAG1321CT-ND")</f>
        <v>YAG1321CT-ND</v>
      </c>
      <c r="D7" s="14" t="s">
        <v>18</v>
      </c>
    </row>
    <row r="8">
      <c r="A8" s="5" t="s">
        <v>35</v>
      </c>
      <c r="B8" s="14" t="s">
        <v>36</v>
      </c>
      <c r="C8" s="6" t="str">
        <f>HYPERLINK("https://www.digikey.com/en/products/detail/stackpole-electronics-inc/RNCP0805FTD10K0/2240262", "RNCP0805FTD10K0CT-ND")</f>
        <v>RNCP0805FTD10K0CT-ND</v>
      </c>
      <c r="D8" s="14" t="s">
        <v>18</v>
      </c>
    </row>
    <row r="9">
      <c r="A9" s="5" t="s">
        <v>37</v>
      </c>
      <c r="B9" s="14" t="s">
        <v>38</v>
      </c>
      <c r="C9" s="6" t="str">
        <f>HYPERLINK("https://www.digikey.com/en/products/detail/vishay-dale/CRCW0805100KJNEB/5073567", "541-CRCW0805100KJNEBCT-ND")</f>
        <v>541-CRCW0805100KJNEBCT-ND</v>
      </c>
      <c r="D9" s="14" t="s">
        <v>18</v>
      </c>
    </row>
    <row r="10">
      <c r="A10" s="5" t="s">
        <v>40</v>
      </c>
      <c r="B10" s="14" t="s">
        <v>41</v>
      </c>
      <c r="C10" s="6" t="str">
        <f>HYPERLINK("https://www.digikey.com/en/products/detail/yageo/RC0805FR-071KP/4935336", "YAG1321CT-ND")</f>
        <v>YAG1321CT-ND</v>
      </c>
      <c r="D10" s="14" t="s">
        <v>18</v>
      </c>
    </row>
    <row r="11">
      <c r="A11" s="16" t="s">
        <v>42</v>
      </c>
      <c r="B11" s="14" t="s">
        <v>43</v>
      </c>
      <c r="C11" s="6" t="str">
        <f>HYPERLINK("https://www.digikey.com/en/products/detail/e-switch/TL3301NF160QG-KR/271564", "141-TL3301NF160QG-KRCT-ND")</f>
        <v>141-TL3301NF160QG-KRCT-ND</v>
      </c>
      <c r="D11" s="14" t="s">
        <v>18</v>
      </c>
    </row>
    <row r="12">
      <c r="A12" s="16" t="s">
        <v>45</v>
      </c>
      <c r="B12" s="14" t="s">
        <v>46</v>
      </c>
      <c r="C12" s="12" t="s">
        <v>47</v>
      </c>
      <c r="D12" s="14" t="s">
        <v>48</v>
      </c>
    </row>
    <row r="13">
      <c r="A13" s="16" t="s">
        <v>49</v>
      </c>
      <c r="B13" s="14" t="s">
        <v>50</v>
      </c>
      <c r="C13" s="12" t="s">
        <v>51</v>
      </c>
      <c r="D13" s="14" t="s">
        <v>48</v>
      </c>
    </row>
    <row r="14">
      <c r="A14" s="16" t="s">
        <v>52</v>
      </c>
      <c r="B14" s="14" t="s">
        <v>53</v>
      </c>
      <c r="C14" s="6" t="str">
        <f>HYPERLINK("https://www.digikey.com/en/products/detail/semtech-corporation/SX1276IMLTRT/4259565", "SX1276IMLTRTCT-ND")</f>
        <v>SX1276IMLTRTCT-ND</v>
      </c>
      <c r="D14" s="14" t="s">
        <v>48</v>
      </c>
    </row>
    <row r="15">
      <c r="A15" s="16" t="s">
        <v>55</v>
      </c>
      <c r="B15" s="14" t="s">
        <v>57</v>
      </c>
      <c r="C15" s="6" t="str">
        <f>HYPERLINK("https://www.digikey.com/en/products/detail/stmicroelectronics/LSM6DSO32TR/11694177", "497-LSM6DSO32CT-ND")</f>
        <v>497-LSM6DSO32CT-ND</v>
      </c>
      <c r="D15" s="14" t="s">
        <v>48</v>
      </c>
    </row>
    <row r="16">
      <c r="A16" s="16" t="s">
        <v>60</v>
      </c>
      <c r="B16" s="14" t="s">
        <v>61</v>
      </c>
      <c r="C16" s="18" t="str">
        <f>HYPERLINK("https://www.digikey.com/en/products/detail/te-connectivity-measurement-specialties/MS560702BA03-50/4700931", "223-1198-1-ND")</f>
        <v>223-1198-1-ND</v>
      </c>
      <c r="D16" s="14" t="s">
        <v>48</v>
      </c>
    </row>
    <row r="17">
      <c r="A17" s="16" t="s">
        <v>63</v>
      </c>
      <c r="B17" s="14" t="s">
        <v>64</v>
      </c>
      <c r="C17" s="6" t="str">
        <f>HYPERLINK("https://www.digikey.com/en/products/detail/amphenol-rf/132134/1011907", "ACX1230-ND")</f>
        <v>ACX1230-ND</v>
      </c>
      <c r="D17" s="14" t="s">
        <v>66</v>
      </c>
    </row>
    <row r="18">
      <c r="A18" s="16" t="s">
        <v>67</v>
      </c>
      <c r="B18" s="14" t="s">
        <v>68</v>
      </c>
      <c r="C18" s="6" t="str">
        <f>HYPERLINK("https://www.digikey.com/en/products/detail/amphenol-cs-commercial-products/GTFP08432B1HR/13683218", "664-GTFP08432B1HRCT-ND")</f>
        <v>664-GTFP08432B1HRCT-ND</v>
      </c>
      <c r="D18" s="14" t="s">
        <v>48</v>
      </c>
    </row>
    <row r="19">
      <c r="A19" s="16" t="s">
        <v>70</v>
      </c>
      <c r="B19" s="14" t="s">
        <v>71</v>
      </c>
      <c r="C19" s="19" t="str">
        <f>HYPERLINK("https://www.digikey.com/en/products/detail/amphenol-cs-fci/10103594-0001LF/2350351", "609-4050-2-ND")</f>
        <v>609-4050-2-ND</v>
      </c>
      <c r="D19" s="14" t="s">
        <v>48</v>
      </c>
    </row>
    <row r="20">
      <c r="A20" s="20" t="s">
        <v>72</v>
      </c>
      <c r="B20" s="14" t="s">
        <v>74</v>
      </c>
      <c r="C20" s="19" t="str">
        <f>HYPERLINK("https://www.digikey.com/en/products/detail/abracon-llc/ABS07-32-768KHZ-6-T/3508065", "535-11898-2-ND")</f>
        <v>535-11898-2-ND</v>
      </c>
      <c r="D20" s="21" t="s">
        <v>18</v>
      </c>
    </row>
    <row r="21">
      <c r="A21" s="16" t="s">
        <v>75</v>
      </c>
      <c r="B21" s="14" t="s">
        <v>76</v>
      </c>
      <c r="C21" s="6" t="str">
        <f>HYPERLINK("https://www.digikey.com/en/products/detail/pulse-electronics/W3011/3025804", "553-2582-1-ND")</f>
        <v>553-2582-1-ND</v>
      </c>
      <c r="D21" s="23" t="s">
        <v>18</v>
      </c>
    </row>
    <row r="22">
      <c r="A22" s="16" t="s">
        <v>77</v>
      </c>
      <c r="B22" s="14" t="s">
        <v>78</v>
      </c>
      <c r="C22" s="6" t="str">
        <f>HYPERLINK("https://www.digikey.com/en/products/detail/onsemi/MBR120LSFT1G/1748986", "MBR120LSFT1GOSCT-ND")</f>
        <v>MBR120LSFT1GOSCT-ND</v>
      </c>
      <c r="D22" s="23" t="s">
        <v>48</v>
      </c>
    </row>
    <row r="23">
      <c r="A23" s="16" t="s">
        <v>80</v>
      </c>
      <c r="B23" s="14" t="s">
        <v>81</v>
      </c>
      <c r="C23" s="6" t="str">
        <f t="shared" ref="C23:C24" si="1">HYPERLINK("https://www.digikey.com/en/products/detail/adam-tech/PH1-08-UA/9830442", "2057-PH1-08-UA-ND")</f>
        <v>2057-PH1-08-UA-ND</v>
      </c>
      <c r="D23" s="23" t="s">
        <v>18</v>
      </c>
    </row>
    <row r="24">
      <c r="A24" s="16" t="s">
        <v>83</v>
      </c>
      <c r="B24" s="14" t="s">
        <v>81</v>
      </c>
      <c r="C24" s="6" t="str">
        <f t="shared" si="1"/>
        <v>2057-PH1-08-UA-ND</v>
      </c>
      <c r="D24" s="23" t="s">
        <v>18</v>
      </c>
    </row>
    <row r="25">
      <c r="A25" s="16" t="s">
        <v>84</v>
      </c>
      <c r="B25" s="14" t="s">
        <v>85</v>
      </c>
      <c r="C25" s="6" t="str">
        <f>HYPERLINK("https://www.digikey.com/en/products/detail/jst-sales-america-inc/S2B-PH-K-S/926626", "455-1719-ND")</f>
        <v>455-1719-ND</v>
      </c>
      <c r="D25" s="23" t="s">
        <v>48</v>
      </c>
    </row>
    <row r="26">
      <c r="A26" s="16" t="s">
        <v>87</v>
      </c>
      <c r="B26" s="14" t="s">
        <v>88</v>
      </c>
      <c r="C26" s="6" t="str">
        <f t="shared" ref="C26:C29" si="2">HYPERLINK("https://www.digikey.com/en/products/detail/adam-tech/PH1-08-UA/9830442", "2057-PH1-08-UA-ND")</f>
        <v>2057-PH1-08-UA-ND</v>
      </c>
      <c r="D26" s="23" t="s">
        <v>90</v>
      </c>
    </row>
    <row r="27">
      <c r="A27" s="24" t="s">
        <v>92</v>
      </c>
      <c r="B27" s="14" t="s">
        <v>81</v>
      </c>
      <c r="C27" s="6" t="str">
        <f t="shared" si="2"/>
        <v>2057-PH1-08-UA-ND</v>
      </c>
      <c r="D27" s="23" t="s">
        <v>18</v>
      </c>
    </row>
    <row r="28">
      <c r="A28" s="24" t="s">
        <v>93</v>
      </c>
      <c r="B28" s="14" t="s">
        <v>81</v>
      </c>
      <c r="C28" s="6" t="str">
        <f t="shared" si="2"/>
        <v>2057-PH1-08-UA-ND</v>
      </c>
      <c r="D28" s="25" t="s">
        <v>18</v>
      </c>
    </row>
    <row r="29">
      <c r="A29" s="24" t="s">
        <v>95</v>
      </c>
      <c r="B29" s="26" t="s">
        <v>81</v>
      </c>
      <c r="C29" s="6" t="str">
        <f t="shared" si="2"/>
        <v>2057-PH1-08-UA-ND</v>
      </c>
      <c r="D29" s="26" t="s">
        <v>18</v>
      </c>
    </row>
    <row r="30">
      <c r="A30" s="24" t="s">
        <v>97</v>
      </c>
      <c r="B30" s="17" t="s">
        <v>98</v>
      </c>
      <c r="C30" s="28" t="str">
        <f>HYPERLINK("https://www.digikey.com/en/products/detail/sunled/XZMDK54W-1/4745953", "1497-1170-1-ND")</f>
        <v>1497-1170-1-ND</v>
      </c>
      <c r="D30" s="17" t="s">
        <v>48</v>
      </c>
    </row>
    <row r="31">
      <c r="A31" s="24" t="s">
        <v>99</v>
      </c>
      <c r="B31" s="17" t="s">
        <v>100</v>
      </c>
      <c r="C31" s="28" t="str">
        <f>HYPERLINK("https://www.digikey.com/en/products/detail/sunled/XZVG54W-1/4745972", "1497-1216-1-ND")</f>
        <v>1497-1216-1-ND</v>
      </c>
      <c r="D31" s="17" t="s">
        <v>48</v>
      </c>
    </row>
    <row r="32">
      <c r="A32" s="24" t="s">
        <v>101</v>
      </c>
      <c r="B32" s="17" t="s">
        <v>102</v>
      </c>
      <c r="C32" s="28" t="str">
        <f>HYPERLINK("https://www.digikey.com/en/products/detail/sunled/XZMOK54W-1/4745796", "1497-1188-1-ND")</f>
        <v>1497-1188-1-ND</v>
      </c>
      <c r="D32" s="17" t="s">
        <v>48</v>
      </c>
    </row>
    <row r="33">
      <c r="A33" s="24" t="s">
        <v>99</v>
      </c>
      <c r="B33" s="17" t="s">
        <v>104</v>
      </c>
      <c r="C33" s="28" t="str">
        <f>HYPERLINK("https://www.digikey.com/en/products/detail/sunled/XZVG54W-1/4745972", "1497-1216-1-ND")</f>
        <v>1497-1216-1-ND</v>
      </c>
      <c r="D33" s="17" t="s">
        <v>48</v>
      </c>
    </row>
    <row r="34">
      <c r="A34" s="24" t="s">
        <v>97</v>
      </c>
      <c r="B34" s="17" t="s">
        <v>106</v>
      </c>
      <c r="C34" s="28" t="str">
        <f>HYPERLINK("https://www.digikey.com/en/products/detail/sunled/XZMDK54W-1/4745953", "1497-1170-1-ND")</f>
        <v>1497-1170-1-ND</v>
      </c>
      <c r="D34" s="17" t="s">
        <v>48</v>
      </c>
    </row>
    <row r="35">
      <c r="A35" s="24" t="s">
        <v>108</v>
      </c>
      <c r="B35" s="17" t="s">
        <v>109</v>
      </c>
      <c r="C35" s="6" t="str">
        <f>HYPERLINK("https://www.digikey.com/en/products/detail/microchip-technology/ATSAMD21G18A-AU/5056473", "ATSAMD21G18A-AU-ND")</f>
        <v>ATSAMD21G18A-AU-ND</v>
      </c>
      <c r="D35" s="17" t="s">
        <v>48</v>
      </c>
    </row>
    <row r="36">
      <c r="A36" s="24" t="s">
        <v>110</v>
      </c>
      <c r="B36" s="17" t="s">
        <v>111</v>
      </c>
      <c r="C36" s="31" t="s">
        <v>113</v>
      </c>
      <c r="D36" s="17" t="s">
        <v>48</v>
      </c>
    </row>
    <row r="37">
      <c r="A37" s="17" t="s">
        <v>52</v>
      </c>
      <c r="B37" s="17" t="s">
        <v>53</v>
      </c>
      <c r="C37" s="17" t="s">
        <v>115</v>
      </c>
      <c r="D37" s="17" t="s">
        <v>48</v>
      </c>
    </row>
    <row r="38">
      <c r="A38" s="16" t="s">
        <v>116</v>
      </c>
      <c r="B38" s="17" t="s">
        <v>117</v>
      </c>
      <c r="C38" s="31">
        <v>258.0</v>
      </c>
      <c r="D38" s="17" t="s">
        <v>48</v>
      </c>
    </row>
    <row r="39">
      <c r="A39" s="24" t="s">
        <v>118</v>
      </c>
      <c r="B39" s="32"/>
      <c r="C39" s="32"/>
      <c r="D39" s="17" t="s">
        <v>120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